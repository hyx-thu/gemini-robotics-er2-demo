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S Componenet" sheetId="1" r:id="rId5"/>
    <sheet state="visible" name="3D printed components" sheetId="2" r:id="rId6"/>
  </sheets>
  <definedNames/>
  <calcPr/>
</workbook>
</file>

<file path=xl/sharedStrings.xml><?xml version="1.0" encoding="utf-8"?>
<sst xmlns="http://schemas.openxmlformats.org/spreadsheetml/2006/main" count="114" uniqueCount="64">
  <si>
    <t>Part Number</t>
  </si>
  <si>
    <t>Item Description</t>
  </si>
  <si>
    <t>Qty</t>
  </si>
  <si>
    <t>Price (ea., estimated)</t>
  </si>
  <si>
    <t>Material type</t>
  </si>
  <si>
    <t>Price (total by unit, estimated)</t>
  </si>
  <si>
    <t>Manufacturer</t>
  </si>
  <si>
    <t>Supplier</t>
  </si>
  <si>
    <t>Notes</t>
  </si>
  <si>
    <t>Link</t>
  </si>
  <si>
    <t>Dynamixel 
hardware</t>
  </si>
  <si>
    <t>Walls</t>
  </si>
  <si>
    <t>Infill %</t>
  </si>
  <si>
    <t>U2D2</t>
  </si>
  <si>
    <t>neck</t>
  </si>
  <si>
    <t>neck-base</t>
  </si>
  <si>
    <t>PLA</t>
  </si>
  <si>
    <t>Robotis</t>
  </si>
  <si>
    <t>link</t>
  </si>
  <si>
    <t>neck-p3</t>
  </si>
  <si>
    <t>neck-p2</t>
  </si>
  <si>
    <t>neck-p1</t>
  </si>
  <si>
    <t xml:space="preserve">mic array </t>
  </si>
  <si>
    <t>mic-array-case-top</t>
  </si>
  <si>
    <t>U2D2 power hub board</t>
  </si>
  <si>
    <t>mic-array-case-bottom</t>
  </si>
  <si>
    <t>d415-mount</t>
  </si>
  <si>
    <t>helmet</t>
  </si>
  <si>
    <t>antenna</t>
  </si>
  <si>
    <t>5v 5 amp power supply</t>
  </si>
  <si>
    <t>amazon</t>
  </si>
  <si>
    <t>usb micro to usb a cable</t>
  </si>
  <si>
    <t>XC330-M288-T</t>
  </si>
  <si>
    <t>LINK</t>
  </si>
  <si>
    <t>XL330-M288-T</t>
  </si>
  <si>
    <t>Back Idler - FPX330-H101 4pcs Set</t>
  </si>
  <si>
    <t xml:space="preserve">Mic Array </t>
  </si>
  <si>
    <t xml:space="preserve">UMA 8 Mic array </t>
  </si>
  <si>
    <t>Mini DSP</t>
  </si>
  <si>
    <t>mini DSP</t>
  </si>
  <si>
    <t>USB Mini to USB A cable</t>
  </si>
  <si>
    <t>Camera stuff</t>
  </si>
  <si>
    <t>Real sense D415</t>
  </si>
  <si>
    <t xml:space="preserve">Intel </t>
  </si>
  <si>
    <t>?? amazon ??</t>
  </si>
  <si>
    <t xml:space="preserve">Right angle USB C to USB A cable </t>
  </si>
  <si>
    <t>Hardware</t>
  </si>
  <si>
    <t xml:space="preserve">M3x6mm </t>
  </si>
  <si>
    <t>Mcmaster</t>
  </si>
  <si>
    <t>M3x10mm</t>
  </si>
  <si>
    <t>M3x18mm</t>
  </si>
  <si>
    <t>M2x10mm</t>
  </si>
  <si>
    <t xml:space="preserve">M2x6mm </t>
  </si>
  <si>
    <t>for mounting servos into neck parts</t>
  </si>
  <si>
    <t>Heated inserts</t>
  </si>
  <si>
    <t>for servo horns</t>
  </si>
  <si>
    <t>Speaker</t>
  </si>
  <si>
    <t>4 Ohm speaker</t>
  </si>
  <si>
    <t>mouser</t>
  </si>
  <si>
    <t xml:space="preserve">Amp </t>
  </si>
  <si>
    <t xml:space="preserve">link </t>
  </si>
  <si>
    <t>ribbbon cable</t>
  </si>
  <si>
    <t xml:space="preserve">header pin cables (receiving end) 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</si>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</sst>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sz val="12.0"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2" fontId="1" numFmtId="49" xfId="0" applyAlignment="1" applyFont="1" applyNumberFormat="1">
      <alignment readingOrder="0" vertical="bottom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ouser.com/en/ProductDetail/Samtec/TCSD-06-S-08.00-01?qs=0lQeLiL1qyY9n3B7uNTXEw%3D%3D" TargetMode="External"/><Relationship Id="rId11" Type="http://schemas.openxmlformats.org/officeDocument/2006/relationships/hyperlink" Target="https://www.amazon.com/Angled-Type-C-Locking-Standard-USB3-0/dp/B07WTC5Z1N/ref=sr_1_18?crid=5ECSZZIBPUEL&amp;dib=eyJ2IjoiMSJ9.aWt7cypizhDMfgxYjpM7IePiWsONILUvM_g1MPa7tAB6da-kkYZkqlmrjL5HRgD0YY_JVqQSHoPInamu0aO8h7TLTC5sd1iRQ-nQQ4Y6MrUrZW0jcDdXAysm5SaodvUqqU7pl7cjtS0eYtfcHYlo-oiDfJ8gB5aBEwVbcODAahQ5zQ8tj9WuAhgQ221p7eABk8XWR0GCPPNnlTI6o8ZjCiZlGYPrMYiK34mQIBE8Z5kGU1FNjl9JYpagrgGa53Ltm9RurQhPXOIxH47ifqgsOBWTt-mJlkA8KeLs7HOqsBA.2x71VSDZJc83DsQ7ZBS21HRi946jrq6oVGDFUiynOCM&amp;dib_tag=se&amp;keywords=usb%2Bc%2Bright%2Bangle%2Bcable%2Bscrew&amp;qid=1750800496&amp;s=electronics&amp;sprefix=usb%2Bc%2Bright%2Bangle%2Bcable%2Bscrew%2Celectronics%2C69&amp;sr=1-18&amp;th=1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amazon.com/Intel-RealSense-Depth-Camera-D415/dp/B07JVGRQZT?th=1" TargetMode="External"/><Relationship Id="rId21" Type="http://schemas.openxmlformats.org/officeDocument/2006/relationships/hyperlink" Target="http://amazon.com/Elegoo-EL-CP-004-Multicolored-Breadboard-arduino/dp/B01EV70C78/ref=sr_1_3?crid=2C2YFJQGTU1Z9&amp;dib=eyJ2IjoiMSJ9.FSfHUS3ByHlgjFKTdrmqREX2cPB4p9KqSDqbRlXucSjxU9FctTRMfRg4emEcqcKt565kmg7Ac_NFuGaWDgbOqMN_QAhs3d86Zoy2W6RZLM1WWQUbG3TgGDgszSA0tfiBpXBzOxceXYBug_7IEVjEKj7yD3KFvQBKO9BHrUr-DiJ7FsSa9QShOOZnRS4jN1USjv9vHkg8FZJEjDoDznurf5PBYkBLUean_fJwrXRudYVVy6NX-IESVNV_Kg3bm6oQDGjL9skxSLl9w_6V_XVmNDNpLVFRoiB3U87hcbW3vHA.8qP37fVP-Fe7Tjal-GrkBDtEWT4ObN3CbvHWJ8cK25Q&amp;dib_tag=se&amp;keywords=header+pin+cable&amp;qid=1784919491&amp;s=electronics&amp;sprefix=header+pin+cable+%2Celectronics%2C168&amp;sr=1-3" TargetMode="External"/><Relationship Id="rId13" Type="http://schemas.openxmlformats.org/officeDocument/2006/relationships/hyperlink" Target="https://www.mcmaster.com/92000A120/" TargetMode="External"/><Relationship Id="rId12" Type="http://schemas.openxmlformats.org/officeDocument/2006/relationships/hyperlink" Target="https://www.mcmaster.com/92095A179/" TargetMode="External"/><Relationship Id="rId1" Type="http://schemas.openxmlformats.org/officeDocument/2006/relationships/hyperlink" Target="https://www.robotis.us/u2d2/?srsltid=AfmBOopgQtGHt-wVtBhoE7RW0IW8Duli6dGR2Y54UkqjH77o3MQuWvex" TargetMode="External"/><Relationship Id="rId2" Type="http://schemas.openxmlformats.org/officeDocument/2006/relationships/hyperlink" Target="https://www.robotis.us/u2d2-power-hub-board-set/?srsltid=AfmBOoqWMAKvAnNr0a9lOEMszuMBdZIBArSrfEsjH1HsyteL6WDlEP4t" TargetMode="External"/><Relationship Id="rId3" Type="http://schemas.openxmlformats.org/officeDocument/2006/relationships/hyperlink" Target="https://www.amazon.com/Power-Supply-Adapter-5-5mm-2-1mm/dp/B09JW1TYNZ/ref=asc_df_B09JW28WQC?mcid=d2b7ce02d32f3ed386af8bcca4afa956&amp;hvocijid=7086669251963683424-B09JW28WQC-&amp;hvexpln=73&amp;tag=hyprod-20&amp;linkCode=df0&amp;hvadid=721245378154&amp;hvpos=&amp;hvnetw=g&amp;hvrand=7086669251963683424&amp;hvpone=&amp;hvptwo=&amp;hvqmt=&amp;hvdev=c&amp;hvdvcmdl=&amp;hvlocint=&amp;hvlocphy=9060351&amp;hvtargid=pla-2281435178338&amp;th=1" TargetMode="External"/><Relationship Id="rId4" Type="http://schemas.openxmlformats.org/officeDocument/2006/relationships/hyperlink" Target="https://www.amazon.com/Amazon-Basics-Charging-Transfer-Gold-Plated/dp/B07232M876/ref=sr_1_4?crid=1HOZL4LUZL5ZH&amp;dib=eyJ2IjoiMSJ9.BTH-JaqRBvQbWEP_82nsg0uJjo4BlX9st1gTpdd8cbbjcmxAYyARJ6Z4qFrzHrc5vPeEDYh2X0BvSaSxd6vh2WxWBW4cvx5MBraNeBv0hyP2k-94v64fiM703GQOjVNP5RAW6eXy0OloEWjvphmk6bkOi-8BlrLpuuex1FvmQGVl2VwRbizgjei7ivouWBikDJYM5vjyfLf_YPLqf3wDLDaAitaP9JFEichF4cZsjR1_hYd9lHGlHEi8MitQ3Gd3Z0WkrXs_fqwYz4cKQylaQ4TdIalaKdtl-YG2wXTjUXM.5VNNfUBxttprPGKXwMVInAIZMm2VIbG0OE--RfxSamU&amp;dib_tag=se&amp;keywords=USB%2BMICRO&amp;qid=1750800216&amp;s=electronics&amp;sprefix=usb%2Bmicro%2B%2Celectronics%2C82&amp;sr=1-4&amp;th=1" TargetMode="External"/><Relationship Id="rId9" Type="http://schemas.openxmlformats.org/officeDocument/2006/relationships/hyperlink" Target="https://www.amazon.com/Monoprice-10-Feet-Mini-B-Ferrite-105449/dp/B002KL8J8W/ref=sr_1_11?crid=2Q7H5O3CK9G5X&amp;dib=eyJ2IjoiMSJ9.Dbexc8ZA2YxmKDD4HwQkFb5qdot9Yn19y1d9SNM0g3Jjydhf74cIm-4xYA9RP-sI4QJb9Q7ZS0S_YJNPpPWiypU9qlM1FyJNwik44Yf0WwVJmPvpz7GuZCdtzPLlocdFWmXc2PeNsTYR7poUizJ1zi64vaaK6-TxDFls4tHT9AAIwXXpBfxmq8nxwAgCjjOE2gDcoCt72cUs9HbWR9bX7cJ7wpW1qY4vHwhYTWNHrIAq2riqsmknTq2QSNhGHNTsTkN1Q6r5hHAOQERpRZ85PDjxf-0kKU-1iuMSxj5pN0s.qiSX22Xoozmvv5ekBTUaG4RvI9W48Qlow3rzUlcKJtE&amp;dib_tag=se&amp;keywords=usb+mini+amazon+basics&amp;qid=1750800350&amp;s=electronics&amp;sprefix=usb+mini+amazon+basics%2Celectronics%2C70&amp;sr=1-11" TargetMode="External"/><Relationship Id="rId15" Type="http://schemas.openxmlformats.org/officeDocument/2006/relationships/hyperlink" Target="https://www.mcmaster.com/91292A833/" TargetMode="External"/><Relationship Id="rId14" Type="http://schemas.openxmlformats.org/officeDocument/2006/relationships/hyperlink" Target="https://www.mcmaster.com/92000A127/" TargetMode="External"/><Relationship Id="rId17" Type="http://schemas.openxmlformats.org/officeDocument/2006/relationships/hyperlink" Target="https://www.mcmaster.com/94180A331/" TargetMode="External"/><Relationship Id="rId16" Type="http://schemas.openxmlformats.org/officeDocument/2006/relationships/hyperlink" Target="https://www.mcmaster.com/91292A831/" TargetMode="External"/><Relationship Id="rId5" Type="http://schemas.openxmlformats.org/officeDocument/2006/relationships/hyperlink" Target="https://www.robotis.us/dynamixel-xc330-m288-t/?searchid=201843&amp;search_query=XC330-M288-T" TargetMode="External"/><Relationship Id="rId19" Type="http://schemas.openxmlformats.org/officeDocument/2006/relationships/hyperlink" Target="https://www.amazon.com/dp/B0D2D4HRHP?psc=1&amp;smid=A1XG0RXDKMAFKX&amp;ref_=chk_typ_imgToDp" TargetMode="External"/><Relationship Id="rId6" Type="http://schemas.openxmlformats.org/officeDocument/2006/relationships/hyperlink" Target="https://www.robotis.us/dynamixel-xl330-m288-t/?searchid=201844&amp;search_query=XL330-M288-T" TargetMode="External"/><Relationship Id="rId18" Type="http://schemas.openxmlformats.org/officeDocument/2006/relationships/hyperlink" Target="https://www.mouser.com/en/ProductDetail/Same-Sky/CDS-4221-44L100?qs=1Kr7Jg1SGW9aeOPnmANfsw%3D%3D" TargetMode="External"/><Relationship Id="rId7" Type="http://schemas.openxmlformats.org/officeDocument/2006/relationships/hyperlink" Target="https://www.robotis.us/fpx330-h101-4pcs-set/?searchid=202594&amp;search_query=FPX330-H101+4PCS+SET" TargetMode="External"/><Relationship Id="rId8" Type="http://schemas.openxmlformats.org/officeDocument/2006/relationships/hyperlink" Target="https://www.minidsp.com/products/usb-audio-interface/uma-8-microphone-array?gad_source=1&amp;gad_campaignid=20956742356&amp;gbraid=0AAAAAD0BHDyS_QxWA9uLaPF-Kr3E_oyqt&amp;gclid=Cj0KCQjwjdTCBhCLARIsAEu8bpI5k8FSNIQKy0cdC-9P4FKvPsv3_BK3FBERuMH_1cr8VUcNDrbSfywaAilqEALw_wc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4" max="4" width="17.63"/>
    <col customWidth="1" min="5" max="5" width="2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3">
      <c r="A3" s="4" t="s">
        <v>10</v>
      </c>
      <c r="B3" s="5" t="s">
        <v>13</v>
      </c>
      <c r="C3" s="5">
        <v>1.0</v>
      </c>
      <c r="D3" s="5">
        <v>35.31</v>
      </c>
      <c r="E3" s="7">
        <f t="shared" ref="E3:E22" si="1">C3*D3</f>
        <v>35.31</v>
      </c>
      <c r="F3" s="5" t="s">
        <v>17</v>
      </c>
      <c r="G3" s="5" t="s">
        <v>17</v>
      </c>
      <c r="I3" s="9" t="s">
        <v>18</v>
      </c>
    </row>
    <row r="4">
      <c r="B4" s="5" t="s">
        <v>24</v>
      </c>
      <c r="C4" s="5">
        <v>1.0</v>
      </c>
      <c r="D4" s="5">
        <v>20.9</v>
      </c>
      <c r="E4" s="7">
        <f t="shared" si="1"/>
        <v>20.9</v>
      </c>
      <c r="F4" s="5" t="s">
        <v>17</v>
      </c>
      <c r="G4" s="5" t="s">
        <v>17</v>
      </c>
      <c r="I4" s="9" t="s">
        <v>18</v>
      </c>
    </row>
    <row r="5">
      <c r="B5" s="5" t="s">
        <v>29</v>
      </c>
      <c r="C5" s="5">
        <v>1.0</v>
      </c>
      <c r="D5" s="5">
        <v>14.99</v>
      </c>
      <c r="E5" s="7">
        <f t="shared" si="1"/>
        <v>14.99</v>
      </c>
      <c r="G5" s="5" t="s">
        <v>30</v>
      </c>
      <c r="I5" s="9" t="s">
        <v>18</v>
      </c>
    </row>
    <row r="6">
      <c r="B6" s="5" t="s">
        <v>31</v>
      </c>
      <c r="C6" s="5">
        <v>1.0</v>
      </c>
      <c r="D6" s="5">
        <v>4.0</v>
      </c>
      <c r="E6" s="7">
        <f t="shared" si="1"/>
        <v>4</v>
      </c>
      <c r="G6" s="5" t="s">
        <v>30</v>
      </c>
      <c r="I6" s="9" t="s">
        <v>18</v>
      </c>
    </row>
    <row r="7">
      <c r="B7" s="5" t="s">
        <v>32</v>
      </c>
      <c r="C7" s="5">
        <v>1.0</v>
      </c>
      <c r="D7" s="5">
        <v>98.89</v>
      </c>
      <c r="E7" s="7">
        <f t="shared" si="1"/>
        <v>98.89</v>
      </c>
      <c r="F7" s="5" t="s">
        <v>17</v>
      </c>
      <c r="G7" s="5" t="s">
        <v>17</v>
      </c>
      <c r="I7" s="9" t="s">
        <v>33</v>
      </c>
    </row>
    <row r="8">
      <c r="B8" s="5" t="s">
        <v>34</v>
      </c>
      <c r="C8" s="5">
        <v>1.0</v>
      </c>
      <c r="D8" s="5">
        <v>26.29</v>
      </c>
      <c r="E8" s="7">
        <f t="shared" si="1"/>
        <v>26.29</v>
      </c>
      <c r="F8" s="5" t="s">
        <v>17</v>
      </c>
      <c r="G8" s="5" t="s">
        <v>17</v>
      </c>
      <c r="I8" s="9" t="s">
        <v>18</v>
      </c>
    </row>
    <row r="9">
      <c r="B9" s="5" t="s">
        <v>35</v>
      </c>
      <c r="C9" s="5">
        <v>1.0</v>
      </c>
      <c r="D9" s="5">
        <v>10.78</v>
      </c>
      <c r="E9" s="7">
        <f t="shared" si="1"/>
        <v>10.78</v>
      </c>
      <c r="F9" s="5" t="s">
        <v>17</v>
      </c>
      <c r="G9" s="5" t="s">
        <v>17</v>
      </c>
      <c r="I9" s="9" t="s">
        <v>18</v>
      </c>
    </row>
    <row r="10">
      <c r="A10" s="5" t="s">
        <v>36</v>
      </c>
      <c r="B10" s="5" t="s">
        <v>37</v>
      </c>
      <c r="C10" s="5">
        <v>1.0</v>
      </c>
      <c r="D10" s="5">
        <v>105.0</v>
      </c>
      <c r="E10" s="7">
        <f t="shared" si="1"/>
        <v>105</v>
      </c>
      <c r="F10" s="5" t="s">
        <v>38</v>
      </c>
      <c r="G10" s="5" t="s">
        <v>39</v>
      </c>
      <c r="I10" s="9" t="s">
        <v>33</v>
      </c>
    </row>
    <row r="11">
      <c r="B11" s="5" t="s">
        <v>40</v>
      </c>
      <c r="C11" s="5">
        <v>1.0</v>
      </c>
      <c r="D11" s="5">
        <v>8.38</v>
      </c>
      <c r="E11" s="7">
        <f t="shared" si="1"/>
        <v>8.38</v>
      </c>
      <c r="G11" s="5" t="s">
        <v>30</v>
      </c>
      <c r="I11" s="9" t="s">
        <v>18</v>
      </c>
    </row>
    <row r="12">
      <c r="A12" s="5" t="s">
        <v>41</v>
      </c>
      <c r="B12" s="5" t="s">
        <v>42</v>
      </c>
      <c r="C12" s="5">
        <v>1.0</v>
      </c>
      <c r="D12" s="5">
        <v>275.41</v>
      </c>
      <c r="E12" s="7">
        <f t="shared" si="1"/>
        <v>275.41</v>
      </c>
      <c r="F12" s="5" t="s">
        <v>43</v>
      </c>
      <c r="G12" s="5" t="s">
        <v>44</v>
      </c>
      <c r="I12" s="9" t="s">
        <v>33</v>
      </c>
    </row>
    <row r="13">
      <c r="B13" s="5" t="s">
        <v>45</v>
      </c>
      <c r="C13" s="5">
        <v>1.0</v>
      </c>
      <c r="D13" s="5">
        <v>14.0</v>
      </c>
      <c r="E13" s="7">
        <f t="shared" si="1"/>
        <v>14</v>
      </c>
      <c r="G13" s="5" t="s">
        <v>30</v>
      </c>
      <c r="I13" s="9" t="s">
        <v>18</v>
      </c>
    </row>
    <row r="14">
      <c r="A14" s="5" t="s">
        <v>46</v>
      </c>
      <c r="B14" s="5" t="s">
        <v>47</v>
      </c>
      <c r="C14" s="5">
        <v>20.0</v>
      </c>
      <c r="E14" s="7">
        <f t="shared" si="1"/>
        <v>0</v>
      </c>
      <c r="G14" s="5" t="s">
        <v>48</v>
      </c>
      <c r="I14" s="9" t="s">
        <v>18</v>
      </c>
    </row>
    <row r="15">
      <c r="B15" s="5" t="s">
        <v>49</v>
      </c>
      <c r="C15" s="5">
        <v>4.0</v>
      </c>
      <c r="E15" s="7">
        <f t="shared" si="1"/>
        <v>0</v>
      </c>
      <c r="G15" s="5" t="s">
        <v>48</v>
      </c>
      <c r="I15" s="9" t="s">
        <v>18</v>
      </c>
    </row>
    <row r="16">
      <c r="B16" s="5" t="s">
        <v>50</v>
      </c>
      <c r="C16" s="5">
        <v>2.0</v>
      </c>
      <c r="E16" s="7">
        <f t="shared" si="1"/>
        <v>0</v>
      </c>
      <c r="G16" s="5" t="s">
        <v>48</v>
      </c>
      <c r="I16" s="9" t="s">
        <v>18</v>
      </c>
    </row>
    <row r="17">
      <c r="B17" s="5" t="s">
        <v>51</v>
      </c>
      <c r="C17" s="5">
        <v>8.0</v>
      </c>
      <c r="E17" s="7">
        <f t="shared" si="1"/>
        <v>0</v>
      </c>
      <c r="G17" s="5" t="s">
        <v>48</v>
      </c>
      <c r="I17" s="9" t="s">
        <v>18</v>
      </c>
    </row>
    <row r="18">
      <c r="B18" s="5" t="s">
        <v>52</v>
      </c>
      <c r="C18" s="5">
        <v>8.0</v>
      </c>
      <c r="E18" s="7">
        <f t="shared" si="1"/>
        <v>0</v>
      </c>
      <c r="G18" s="5" t="s">
        <v>48</v>
      </c>
      <c r="H18" s="5" t="s">
        <v>53</v>
      </c>
      <c r="I18" s="9" t="s">
        <v>18</v>
      </c>
    </row>
    <row r="19">
      <c r="B19" s="5" t="s">
        <v>54</v>
      </c>
      <c r="C19" s="5">
        <v>24.0</v>
      </c>
      <c r="D19" s="5">
        <f> 20.44/100</f>
        <v>0.2044</v>
      </c>
      <c r="E19" s="7">
        <f t="shared" si="1"/>
        <v>4.9056</v>
      </c>
      <c r="G19" s="5" t="s">
        <v>48</v>
      </c>
      <c r="H19" s="5" t="s">
        <v>55</v>
      </c>
      <c r="I19" s="9" t="s">
        <v>18</v>
      </c>
    </row>
    <row r="20">
      <c r="A20" s="5" t="s">
        <v>56</v>
      </c>
      <c r="B20" s="5" t="s">
        <v>57</v>
      </c>
      <c r="C20" s="5">
        <v>1.0</v>
      </c>
      <c r="D20" s="5">
        <v>5.48</v>
      </c>
      <c r="E20" s="7">
        <f t="shared" si="1"/>
        <v>5.48</v>
      </c>
      <c r="G20" s="5" t="s">
        <v>58</v>
      </c>
      <c r="I20" s="9" t="s">
        <v>18</v>
      </c>
    </row>
    <row r="21">
      <c r="B21" s="5" t="s">
        <v>59</v>
      </c>
      <c r="C21" s="5">
        <v>1.0</v>
      </c>
      <c r="D21" s="5">
        <v>4.99</v>
      </c>
      <c r="E21" s="7">
        <f t="shared" si="1"/>
        <v>4.99</v>
      </c>
      <c r="G21" s="5" t="s">
        <v>30</v>
      </c>
      <c r="I21" s="9" t="s">
        <v>60</v>
      </c>
    </row>
    <row r="22">
      <c r="B22" s="5" t="s">
        <v>61</v>
      </c>
      <c r="C22" s="5">
        <v>2.0</v>
      </c>
      <c r="D22" s="10">
        <v>6.19</v>
      </c>
      <c r="E22" s="7">
        <f t="shared" si="1"/>
        <v>12.38</v>
      </c>
      <c r="G22" s="5" t="s">
        <v>58</v>
      </c>
      <c r="I22" s="9" t="s">
        <v>18</v>
      </c>
    </row>
    <row r="23">
      <c r="B23" s="5" t="s">
        <v>62</v>
      </c>
      <c r="C23" s="5">
        <v>7.0</v>
      </c>
      <c r="G23" s="5" t="s">
        <v>30</v>
      </c>
      <c r="I23" s="9" t="s">
        <v>18</v>
      </c>
    </row>
    <row r="24">
      <c r="B24" s="5" t="s">
        <v>63</v>
      </c>
      <c r="E24" s="7">
        <f>SUM(E2:E23)</f>
        <v>641.7056</v>
      </c>
    </row>
  </sheetData>
  <mergeCells count="5">
    <mergeCell ref="A3:A9"/>
    <mergeCell ref="A10:A11"/>
    <mergeCell ref="A12:A13"/>
    <mergeCell ref="A20:A21"/>
    <mergeCell ref="A14:A19"/>
  </mergeCell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2"/>
    <hyperlink r:id="rId21" ref="I23"/>
  </hyperlinks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</cols>
  <sheetData>
    <row r="1">
      <c r="A1" s="1" t="s">
        <v>0</v>
      </c>
      <c r="B1" s="2" t="s">
        <v>1</v>
      </c>
      <c r="C1" s="2" t="s">
        <v>2</v>
      </c>
      <c r="D1" s="3" t="s">
        <v>4</v>
      </c>
      <c r="E1" s="3" t="s">
        <v>11</v>
      </c>
      <c r="F1" s="6" t="s">
        <v>12</v>
      </c>
      <c r="G1" s="2"/>
      <c r="H1" s="2"/>
      <c r="I1" s="2"/>
      <c r="J1" s="2"/>
      <c r="K1" s="2"/>
      <c r="L1" s="2"/>
    </row>
    <row r="2">
      <c r="A2" s="5" t="s">
        <v>14</v>
      </c>
      <c r="B2" s="5" t="s">
        <v>15</v>
      </c>
      <c r="C2" s="5">
        <v>1.0</v>
      </c>
      <c r="D2" s="5" t="s">
        <v>16</v>
      </c>
      <c r="E2" s="5">
        <v>3.0</v>
      </c>
      <c r="F2" s="8">
        <v>46310.0</v>
      </c>
    </row>
    <row r="3">
      <c r="B3" s="5" t="s">
        <v>19</v>
      </c>
      <c r="C3" s="5">
        <v>1.0</v>
      </c>
      <c r="D3" s="5" t="s">
        <v>16</v>
      </c>
      <c r="E3" s="5">
        <v>3.0</v>
      </c>
      <c r="F3" s="8">
        <v>46310.0</v>
      </c>
    </row>
    <row r="4">
      <c r="B4" s="5" t="s">
        <v>20</v>
      </c>
      <c r="C4" s="5">
        <v>1.0</v>
      </c>
      <c r="D4" s="5" t="s">
        <v>16</v>
      </c>
      <c r="E4" s="5">
        <v>3.0</v>
      </c>
      <c r="F4" s="8">
        <v>46310.0</v>
      </c>
    </row>
    <row r="5">
      <c r="B5" s="5" t="s">
        <v>21</v>
      </c>
      <c r="C5" s="5">
        <v>1.0</v>
      </c>
      <c r="D5" s="5" t="s">
        <v>16</v>
      </c>
      <c r="E5" s="5">
        <v>3.0</v>
      </c>
      <c r="F5" s="8">
        <v>46310.0</v>
      </c>
    </row>
    <row r="6">
      <c r="A6" s="5" t="s">
        <v>22</v>
      </c>
      <c r="B6" s="5" t="s">
        <v>23</v>
      </c>
      <c r="C6" s="5">
        <v>1.0</v>
      </c>
      <c r="D6" s="5" t="s">
        <v>16</v>
      </c>
      <c r="E6" s="5">
        <v>3.0</v>
      </c>
      <c r="F6" s="8">
        <v>46310.0</v>
      </c>
    </row>
    <row r="7">
      <c r="B7" s="5" t="s">
        <v>25</v>
      </c>
      <c r="C7" s="5">
        <v>1.0</v>
      </c>
      <c r="D7" s="5" t="s">
        <v>16</v>
      </c>
      <c r="E7" s="5">
        <v>3.0</v>
      </c>
      <c r="F7" s="8">
        <v>46310.0</v>
      </c>
    </row>
    <row r="8">
      <c r="B8" s="5" t="s">
        <v>26</v>
      </c>
      <c r="C8" s="5">
        <v>1.0</v>
      </c>
      <c r="D8" s="5" t="s">
        <v>16</v>
      </c>
      <c r="E8" s="5">
        <v>3.0</v>
      </c>
      <c r="F8" s="8">
        <v>46310.0</v>
      </c>
    </row>
    <row r="9">
      <c r="A9" s="5" t="s">
        <v>27</v>
      </c>
      <c r="B9" s="5" t="s">
        <v>27</v>
      </c>
      <c r="C9" s="5">
        <v>1.0</v>
      </c>
      <c r="D9" s="5" t="s">
        <v>16</v>
      </c>
      <c r="E9" s="5">
        <v>3.0</v>
      </c>
      <c r="F9" s="8">
        <v>46310.0</v>
      </c>
    </row>
    <row r="10">
      <c r="B10" s="5" t="s">
        <v>28</v>
      </c>
      <c r="C10" s="5">
        <v>2.0</v>
      </c>
      <c r="D10" s="5" t="s">
        <v>16</v>
      </c>
      <c r="E10" s="5">
        <v>3.0</v>
      </c>
      <c r="F10" s="8">
        <v>46310.0</v>
      </c>
    </row>
  </sheetData>
  <mergeCells count="3">
    <mergeCell ref="A2:A5"/>
    <mergeCell ref="A6:A8"/>
    <mergeCell ref="A9:A10"/>
  </mergeCells>
  <dataValidations>
    <dataValidation type="list" allowBlank="1" showErrorMessage="1" sqref="K1">
      <formula1>"Shipped,Ordered &amp; OTW,Installed,Not Ordered Yet,Recieved &amp; Stored,Back Ordered or Out Of Stock ,N/A"</formula1>
    </dataValidation>
  </dataValidations>
  <drawing r:id="rId1"/>
</worksheet>
</file>